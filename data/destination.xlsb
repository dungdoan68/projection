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openxmlformats-officedocument.spreadsheetml.sheet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custom.xml" ContentType="application/vnd.openxmlformats-officedocument.custom-properties+xml"/>
  <Default Extension="bin" ContentType="application/vnd.ms-excel.sheet.binary.macroEnabled.main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updateLinks="0" filterPrivacy="0" publishItems="0" defaultThemeVersion="202300"/>
  <bookViews>
    <workbookView xWindow="760" yWindow="760" windowWidth="14400" windowHeight="7270" firstSheet="1" activeTab="1"/>
  </bookViews>
  <sheets>
    <sheet name="Sheet1" sheetId="1" r:id="rId1"/>
    <sheet name="Evaluation Warning" sheetId="2" r:id="rId2"/>
  </sheets>
  <definedNames/>
  <calcPr fullCalcOnLoad="1"/>
</workbook>
</file>

<file path=xl/sharedStrings.xml><?xml version="1.0" encoding="utf-8"?>
<sst xmlns="http://schemas.openxmlformats.org/spreadsheetml/2006/main" count="8" uniqueCount="8">
  <si>
    <t>Spire.XLS for Python</t>
  </si>
  <si>
    <t>e-iceblue Inc. 2002-2025 All rights reserverd</t>
  </si>
  <si>
    <t>Home page</t>
  </si>
  <si>
    <t>https://www.e-iceblue.com</t>
  </si>
  <si>
    <t>Contact US</t>
  </si>
  <si>
    <t>mailto:support@e-iceblue.com</t>
  </si>
  <si>
    <t>Buy Now!</t>
  </si>
  <si>
    <t>https://www.e-iceblue.com/Buy/Spire.XLS-Python.html</t>
  </si>
</sst>
</file>

<file path=xl/styles.xml><?xml version="1.0" encoding="utf-8"?>
<styleSheet xmlns="http://schemas.openxmlformats.org/spreadsheetml/2006/main">
  <numFmts count="1">
    <numFmt numFmtId="177" formatCode="_(* #,##0_);_(* \(#,##0\);_(* &quot;-&quot;??_);_(@_)"/>
  </numFmts>
  <fonts count="5">
    <font>
      <sz val="11"/>
      <color theme="1"/>
      <name val="Aptos Narrow"/>
      <family val="2"/>
    </font>
    <font>
      <sz val="10"/>
      <name val="Arial"/>
      <family val="2"/>
    </font>
    <font>
      <sz val="10"/>
      <name val="Times New Roman"/>
      <family val="1"/>
    </font>
    <font>
      <b/>
      <sz val="11"/>
      <color theme="1"/>
      <name val="Aptos Narrow"/>
      <family val="2"/>
    </font>
    <font>
      <u val="single"/>
      <sz val="11"/>
      <color rgb="FF0000FF"/>
      <name val="Aptos Narrow"/>
      <family val="2"/>
    </font>
  </fonts>
  <fills count="2">
    <fill>
      <patternFill/>
    </fill>
    <fill>
      <patternFill patternType="gray125"/>
    </fill>
  </fills>
  <borders count="4">
    <border>
      <left/>
      <right/>
      <top/>
      <bottom/>
      <diagonal/>
    </border>
    <border>
      <left style="thin"/>
      <right style="thin"/>
      <top style="thin"/>
      <bottom/>
    </border>
    <border>
      <left style="thin"/>
      <right style="thin"/>
      <top/>
      <bottom/>
    </border>
    <border>
      <left style="thin"/>
      <right style="thin"/>
      <top/>
      <bottom style="thin"/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" fillId="0" borderId="0">
      <alignment/>
      <protection/>
    </xf>
  </cellStyleXfs>
  <cellXfs count="10">
    <xf numFmtId="0" fontId="0" fillId="0" borderId="0" xfId="0"/>
    <xf numFmtId="0" fontId="2" fillId="0" borderId="1" xfId="0" applyFont="1" applyBorder="1"/>
    <xf numFmtId="177" fontId="2" fillId="0" borderId="1" xfId="18" applyNumberFormat="1" applyFont="1" applyFill="1" applyBorder="1"/>
    <xf numFmtId="0" fontId="2" fillId="0" borderId="2" xfId="0" applyFont="1" applyBorder="1"/>
    <xf numFmtId="177" fontId="2" fillId="0" borderId="2" xfId="18" applyNumberFormat="1" applyFont="1" applyFill="1" applyBorder="1"/>
    <xf numFmtId="0" fontId="2" fillId="0" borderId="3" xfId="0" applyFont="1" applyBorder="1"/>
    <xf numFmtId="177" fontId="2" fillId="0" borderId="3" xfId="18" applyNumberFormat="1" applyFont="1" applyFill="1" applyBorder="1"/>
    <xf numFmtId="0" fontId="3" fillId="0" borderId="0" xfId="0" applyFont="1"/>
    <xf numFmtId="0" fontId="4" fillId="0" borderId="0" xfId="20">
      <alignment/>
      <protection/>
    </xf>
    <xf numFmtId="0" fontId="4" fillId="0" borderId="0" xfId="0" applyFont="1"/>
  </cellXfs>
  <cellStyles count="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yperlink" xfId="2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styles" Target="styles.xml" /><Relationship Id="rId4" Type="http://schemas.openxmlformats.org/officeDocument/2006/relationships/sharedStrings" Target="sharedStrings.xml" /><Relationship Id="rId5" Type="http://schemas.openxmlformats.org/officeDocument/2006/relationships/theme" Target="theme/theme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hyperlink" Target="https://www.e-iceblue.com" TargetMode="External" /><Relationship Id="rId2" Type="http://schemas.openxmlformats.org/officeDocument/2006/relationships/hyperlink" Target="mailto:support@e-iceblue.com" TargetMode="External" /><Relationship Id="rId3" Type="http://schemas.openxmlformats.org/officeDocument/2006/relationships/hyperlink" Target="https://www.e-iceblue.com/Buy/Spire.XLS-Python.html" TargetMode="External" /></Relationships>
</file>

<file path=xl/worksheets/sheet1.xml><?xml version="1.0" encoding="utf-8"?>
<worksheet xmlns="http://schemas.openxmlformats.org/spreadsheetml/2006/main" xmlns:r="http://schemas.openxmlformats.org/officeDocument/2006/relationships">
  <dimension ref="E1:H99"/>
  <sheetViews>
    <sheetView workbookViewId="0" topLeftCell="A1">
      <selection activeCell="F3" sqref="F3"/>
    </sheetView>
  </sheetViews>
  <sheetFormatPr defaultColWidth="9.00390625" defaultRowHeight="15"/>
  <sheetData>
    <row r="1" spans="5:8" ht="15">
      <c r="E1" s="1">
        <v>1</v>
      </c>
      <c r="F1" s="1">
        <f>+AGE_AT_ENTRY+1</f>
        <v>31</v>
      </c>
      <c r="G1" s="2">
        <f>IF(ISNUMBER(MATCH("Số tiền rút vượt mức tối đa",$AA$7:L1,0))=TRUE,0,#REF!-#REF!)</f>
        <v>15358</v>
      </c>
      <c r="H1" s="2">
        <f>IF(ISNUMBER(MATCH("Số tiền rút vượt mức tối đa",$AA$7:L1,0))=TRUE,0,#REF!)</f>
        <v>7809.95</v>
      </c>
    </row>
    <row r="2" spans="5:8" ht="15">
      <c r="E2" s="3">
        <f>1+E1</f>
        <v>2</v>
      </c>
      <c r="F2" s="3">
        <f>1+F1</f>
        <v>32</v>
      </c>
      <c r="G2" s="4">
        <f>IF(ISNUMBER(MATCH("Số tiền rút vượt mức tối đa",$AA$7:L1,0))=TRUE,0,#REF!-#REF!)</f>
        <v>15247</v>
      </c>
      <c r="H2" s="4">
        <f>IF(ISNUMBER(MATCH("Số tiền rút vượt mức tối đa",$AA$7:L1,0))=TRUE,0,#REF!)</f>
        <v>10718.210000000001</v>
      </c>
    </row>
    <row r="3" spans="5:8" ht="15">
      <c r="E3" s="3">
        <f>1+E2</f>
        <v>3</v>
      </c>
      <c r="F3" s="3">
        <f>1+F2</f>
        <v>33</v>
      </c>
      <c r="G3" s="4">
        <f>IF(ISNUMBER(MATCH("Số tiền rút vượt mức tối đa",$AA$7:L2,0))=TRUE,0,#REF!-#REF!)</f>
        <v>15088</v>
      </c>
      <c r="H3" s="4">
        <f>IF(ISNUMBER(MATCH("Số tiền rút vượt mức tối đa",$AA$7:L2,0))=TRUE,0,#REF!)</f>
        <v>12070.4</v>
      </c>
    </row>
    <row r="4" spans="5:8" ht="15">
      <c r="E4" s="3">
        <f>1+E3</f>
        <v>4</v>
      </c>
      <c r="F4" s="3">
        <f>1+F3</f>
        <v>34</v>
      </c>
      <c r="G4" s="4">
        <f>IF(ISNUMBER(MATCH("Số tiền rút vượt mức tối đa",$AA$7:L3,0))=TRUE,0,#REF!-#REF!)</f>
        <v>14938</v>
      </c>
      <c r="H4" s="4">
        <f>IF(ISNUMBER(MATCH("Số tiền rút vượt mức tối đa",$AA$7:L3,0))=TRUE,0,#REF!)</f>
        <v>11950.4</v>
      </c>
    </row>
    <row r="5" spans="5:8" ht="15">
      <c r="E5" s="3">
        <f>1+E4</f>
        <v>5</v>
      </c>
      <c r="F5" s="3">
        <f>1+F4</f>
        <v>35</v>
      </c>
      <c r="G5" s="4">
        <f>IF(ISNUMBER(MATCH("Số tiền rút vượt mức tối đa",$AA$7:L4,0))=TRUE,0,#REF!-#REF!)</f>
        <v>14785</v>
      </c>
      <c r="H5" s="4">
        <f>IF(ISNUMBER(MATCH("Số tiền rút vượt mức tối đa",$AA$7:L4,0))=TRUE,0,#REF!)</f>
        <v>11828</v>
      </c>
    </row>
    <row r="6" spans="5:8" ht="15">
      <c r="E6" s="3">
        <f>1+E5</f>
        <v>6</v>
      </c>
      <c r="F6" s="3">
        <f>1+F5</f>
        <v>36</v>
      </c>
      <c r="G6" s="4">
        <f>IF(ISNUMBER(MATCH("Số tiền rút vượt mức tối đa",$AA$7:L5,0))=TRUE,0,#REF!-#REF!)</f>
        <v>14701</v>
      </c>
      <c r="H6" s="4">
        <f>IF(ISNUMBER(MATCH("Số tiền rút vượt mức tối đa",$AA$7:L5,0))=TRUE,0,#REF!)</f>
        <v>14406.98</v>
      </c>
    </row>
    <row r="7" spans="5:8" ht="15">
      <c r="E7" s="3">
        <f>1+E6</f>
        <v>7</v>
      </c>
      <c r="F7" s="3">
        <f>1+F6</f>
        <v>37</v>
      </c>
      <c r="G7" s="4">
        <f>IF(ISNUMBER(MATCH("Số tiền rút vượt mức tối đa",$AA$7:L6,0))=TRUE,0,#REF!-#REF!)</f>
        <v>14519</v>
      </c>
      <c r="H7" s="4">
        <f>IF(ISNUMBER(MATCH("Số tiền rút vượt mức tối đa",$AA$7:L6,0))=TRUE,0,#REF!)</f>
        <v>14228.62</v>
      </c>
    </row>
    <row r="8" spans="5:8" ht="15">
      <c r="E8" s="3">
        <f>1+E7</f>
        <v>8</v>
      </c>
      <c r="F8" s="3">
        <f>1+F7</f>
        <v>38</v>
      </c>
      <c r="G8" s="4">
        <f>IF(ISNUMBER(MATCH("Số tiền rút vượt mức tối đa",$AA$7:L7,0))=TRUE,0,#REF!-#REF!)</f>
        <v>14361</v>
      </c>
      <c r="H8" s="4">
        <f>IF(ISNUMBER(MATCH("Số tiền rút vượt mức tối đa",$AA$7:L7,0))=TRUE,0,#REF!)</f>
        <v>14073.78</v>
      </c>
    </row>
    <row r="9" spans="5:8" ht="15">
      <c r="E9" s="3">
        <f>1+E8</f>
        <v>9</v>
      </c>
      <c r="F9" s="3">
        <f>1+F8</f>
        <v>39</v>
      </c>
      <c r="G9" s="4">
        <f>IF(ISNUMBER(MATCH("Số tiền rút vượt mức tối đa",$AA$7:L8,0))=TRUE,0,#REF!-#REF!)</f>
        <v>14172</v>
      </c>
      <c r="H9" s="4">
        <f>IF(ISNUMBER(MATCH("Số tiền rút vượt mức tối đa",$AA$7:L8,0))=TRUE,0,#REF!)</f>
        <v>13888.56</v>
      </c>
    </row>
    <row r="10" spans="5:8" ht="15">
      <c r="E10" s="3">
        <f>1+E9</f>
        <v>10</v>
      </c>
      <c r="F10" s="3">
        <f>1+F9</f>
        <v>40</v>
      </c>
      <c r="G10" s="4">
        <f>IF(ISNUMBER(MATCH("Số tiền rút vượt mức tối đa",$AA$7:L9,0))=TRUE,0,#REF!-#REF!)</f>
        <v>13959</v>
      </c>
      <c r="H10" s="4">
        <f>IF(ISNUMBER(MATCH("Số tiền rút vượt mức tối đa",$AA$7:L9,0))=TRUE,0,#REF!)</f>
        <v>13679.82</v>
      </c>
    </row>
    <row r="11" spans="5:8" ht="15">
      <c r="E11" s="3">
        <f>1+E10</f>
        <v>11</v>
      </c>
      <c r="F11" s="3">
        <f>1+F10</f>
        <v>41</v>
      </c>
      <c r="G11" s="4">
        <f>IF(ISNUMBER(MATCH("Số tiền rút vượt mức tối đa",$AA$7:L10,0))=TRUE,0,#REF!-#REF!)</f>
        <v>13856</v>
      </c>
      <c r="H11" s="4">
        <f>IF(ISNUMBER(MATCH("Số tiền rút vượt mức tối đa",$AA$7:L10,0))=TRUE,0,#REF!)</f>
        <v>13856</v>
      </c>
    </row>
    <row r="12" spans="5:8" ht="15">
      <c r="E12" s="3">
        <f>1+E11</f>
        <v>12</v>
      </c>
      <c r="F12" s="3">
        <f>1+F11</f>
        <v>42</v>
      </c>
      <c r="G12" s="4">
        <f>IF(ISNUMBER(MATCH("Số tiền rút vượt mức tối đa",$AA$7:L11,0))=TRUE,0,#REF!-#REF!)</f>
        <v>13624</v>
      </c>
      <c r="H12" s="4">
        <f>IF(ISNUMBER(MATCH("Số tiền rút vượt mức tối đa",$AA$7:L11,0))=TRUE,0,#REF!)</f>
        <v>13624</v>
      </c>
    </row>
    <row r="13" spans="5:8" ht="15">
      <c r="E13" s="3">
        <f>1+E12</f>
        <v>13</v>
      </c>
      <c r="F13" s="3">
        <f>1+F12</f>
        <v>43</v>
      </c>
      <c r="G13" s="4">
        <f>IF(ISNUMBER(MATCH("Số tiền rút vượt mức tối đa",$AA$7:L12,0))=TRUE,0,#REF!-#REF!)</f>
        <v>13371</v>
      </c>
      <c r="H13" s="4">
        <f>IF(ISNUMBER(MATCH("Số tiền rút vượt mức tối đa",$AA$7:L12,0))=TRUE,0,#REF!)</f>
        <v>13371</v>
      </c>
    </row>
    <row r="14" spans="5:8" ht="15">
      <c r="E14" s="3">
        <f>1+E13</f>
        <v>14</v>
      </c>
      <c r="F14" s="3">
        <f>1+F13</f>
        <v>44</v>
      </c>
      <c r="G14" s="4">
        <f>IF(ISNUMBER(MATCH("Số tiền rút vượt mức tối đa",$AA$7:L13,0))=TRUE,0,#REF!-#REF!)</f>
        <v>13127</v>
      </c>
      <c r="H14" s="4">
        <f>IF(ISNUMBER(MATCH("Số tiền rút vượt mức tối đa",$AA$7:L13,0))=TRUE,0,#REF!)</f>
        <v>13127</v>
      </c>
    </row>
    <row r="15" spans="5:8" ht="15">
      <c r="E15" s="3">
        <f>1+E14</f>
        <v>15</v>
      </c>
      <c r="F15" s="3">
        <f>1+F14</f>
        <v>45</v>
      </c>
      <c r="G15" s="4">
        <f>IF(ISNUMBER(MATCH("Số tiền rút vượt mức tối đa",$AA$7:L14,0))=TRUE,0,#REF!-#REF!)</f>
        <v>12841</v>
      </c>
      <c r="H15" s="4">
        <f>IF(ISNUMBER(MATCH("Số tiền rút vượt mức tối đa",$AA$7:L14,0))=TRUE,0,#REF!)</f>
        <v>12841</v>
      </c>
    </row>
    <row r="16" spans="5:8" ht="15">
      <c r="E16" s="3">
        <f>1+E15</f>
        <v>16</v>
      </c>
      <c r="F16" s="3">
        <f>1+F15</f>
        <v>46</v>
      </c>
      <c r="G16" s="4">
        <f>IF(ISNUMBER(MATCH("Số tiền rút vượt mức tối đa",$AA$7:L15,0))=TRUE,0,#REF!-#REF!)</f>
        <v>13168</v>
      </c>
      <c r="H16" s="4">
        <f>IF(ISNUMBER(MATCH("Số tiền rút vượt mức tối đa",$AA$7:L15,0))=TRUE,0,#REF!)</f>
        <v>13168</v>
      </c>
    </row>
    <row r="17" spans="5:8" ht="15">
      <c r="E17" s="3">
        <f>1+E16</f>
        <v>17</v>
      </c>
      <c r="F17" s="3">
        <f>1+F16</f>
        <v>47</v>
      </c>
      <c r="G17" s="4">
        <f>IF(ISNUMBER(MATCH("Số tiền rút vượt mức tối đa",$AA$7:L16,0))=TRUE,0,#REF!-#REF!)</f>
        <v>12818</v>
      </c>
      <c r="H17" s="4">
        <f>IF(ISNUMBER(MATCH("Số tiền rút vượt mức tối đa",$AA$7:L16,0))=TRUE,0,#REF!)</f>
        <v>12818</v>
      </c>
    </row>
    <row r="18" spans="5:8" ht="15">
      <c r="E18" s="3">
        <f>1+E17</f>
        <v>18</v>
      </c>
      <c r="F18" s="3">
        <f>1+F17</f>
        <v>48</v>
      </c>
      <c r="G18" s="4">
        <f>IF(ISNUMBER(MATCH("Số tiền rút vượt mức tối đa",$AA$7:L17,0))=TRUE,0,#REF!-#REF!)</f>
        <v>12297</v>
      </c>
      <c r="H18" s="4">
        <f>IF(ISNUMBER(MATCH("Số tiền rút vượt mức tối đa",$AA$7:L17,0))=TRUE,0,#REF!)</f>
        <v>12297</v>
      </c>
    </row>
    <row r="19" spans="5:8" ht="15">
      <c r="E19" s="3">
        <f>1+E18</f>
        <v>19</v>
      </c>
      <c r="F19" s="3">
        <f>1+F18</f>
        <v>49</v>
      </c>
      <c r="G19" s="4">
        <f>IF(ISNUMBER(MATCH("Số tiền rút vượt mức tối đa",$AA$7:L18,0))=TRUE,0,#REF!-#REF!)</f>
        <v>11711</v>
      </c>
      <c r="H19" s="4">
        <f>IF(ISNUMBER(MATCH("Số tiền rút vượt mức tối đa",$AA$7:L18,0))=TRUE,0,#REF!)</f>
        <v>11711</v>
      </c>
    </row>
    <row r="20" spans="5:8" ht="15">
      <c r="E20" s="3">
        <f>1+E19</f>
        <v>20</v>
      </c>
      <c r="F20" s="3">
        <f>1+F19</f>
        <v>50</v>
      </c>
      <c r="G20" s="4">
        <f>IF(ISNUMBER(MATCH("Số tiền rút vượt mức tối đa",$AA$7:L19,0))=TRUE,0,#REF!-#REF!)</f>
        <v>11122</v>
      </c>
      <c r="H20" s="4">
        <f>IF(ISNUMBER(MATCH("Số tiền rút vượt mức tối đa",$AA$7:L19,0))=TRUE,0,#REF!)</f>
        <v>11122</v>
      </c>
    </row>
    <row r="21" spans="5:8" ht="15">
      <c r="E21" s="3">
        <f>1+E20</f>
        <v>21</v>
      </c>
      <c r="F21" s="3">
        <f>1+F20</f>
        <v>51</v>
      </c>
      <c r="G21" s="4">
        <f>IF(ISNUMBER(MATCH("Số tiền rút vượt mức tối đa",$AA$7:L20,0))=TRUE,0,#REF!-#REF!)</f>
        <v>0</v>
      </c>
      <c r="H21" s="4">
        <f>IF(ISNUMBER(MATCH("Số tiền rút vượt mức tối đa",$AA$7:L20,0))=TRUE,0,#REF!)</f>
        <v>0</v>
      </c>
    </row>
    <row r="22" spans="5:8" ht="15">
      <c r="E22" s="3">
        <f>1+E21</f>
        <v>22</v>
      </c>
      <c r="F22" s="3">
        <f>1+F21</f>
        <v>52</v>
      </c>
      <c r="G22" s="4">
        <f>IF(ISNUMBER(MATCH("Số tiền rút vượt mức tối đa",$AA$7:L21,0))=TRUE,0,#REF!-#REF!)</f>
        <v>0</v>
      </c>
      <c r="H22" s="4">
        <f>IF(ISNUMBER(MATCH("Số tiền rút vượt mức tối đa",$AA$7:L21,0))=TRUE,0,#REF!)</f>
        <v>0</v>
      </c>
    </row>
    <row r="23" spans="5:8" ht="15">
      <c r="E23" s="3">
        <f>1+E22</f>
        <v>23</v>
      </c>
      <c r="F23" s="3">
        <f>1+F22</f>
        <v>53</v>
      </c>
      <c r="G23" s="4">
        <f>IF(ISNUMBER(MATCH("Số tiền rút vượt mức tối đa",$AA$7:L22,0))=TRUE,0,#REF!-#REF!)</f>
        <v>0</v>
      </c>
      <c r="H23" s="4">
        <f>IF(ISNUMBER(MATCH("Số tiền rút vượt mức tối đa",$AA$7:L22,0))=TRUE,0,#REF!)</f>
        <v>0</v>
      </c>
    </row>
    <row r="24" spans="5:8" ht="15">
      <c r="E24" s="3">
        <f>1+E23</f>
        <v>24</v>
      </c>
      <c r="F24" s="3">
        <f>1+F23</f>
        <v>54</v>
      </c>
      <c r="G24" s="4">
        <f>IF(ISNUMBER(MATCH("Số tiền rút vượt mức tối đa",$AA$7:L23,0))=TRUE,0,#REF!-#REF!)</f>
        <v>0</v>
      </c>
      <c r="H24" s="4">
        <f>IF(ISNUMBER(MATCH("Số tiền rút vượt mức tối đa",$AA$7:L23,0))=TRUE,0,#REF!)</f>
        <v>0</v>
      </c>
    </row>
    <row r="25" spans="5:8" ht="15">
      <c r="E25" s="3">
        <f>1+E24</f>
        <v>25</v>
      </c>
      <c r="F25" s="3">
        <f>1+F24</f>
        <v>55</v>
      </c>
      <c r="G25" s="4">
        <f>IF(ISNUMBER(MATCH("Số tiền rút vượt mức tối đa",$AA$7:L24,0))=TRUE,0,#REF!-#REF!)</f>
        <v>0</v>
      </c>
      <c r="H25" s="4">
        <f>IF(ISNUMBER(MATCH("Số tiền rút vượt mức tối đa",$AA$7:L24,0))=TRUE,0,#REF!)</f>
        <v>0</v>
      </c>
    </row>
    <row r="26" spans="5:8" ht="15">
      <c r="E26" s="3">
        <f>1+E25</f>
        <v>26</v>
      </c>
      <c r="F26" s="3">
        <f>1+F25</f>
        <v>56</v>
      </c>
      <c r="G26" s="4">
        <f>IF(ISNUMBER(MATCH("Số tiền rút vượt mức tối đa",$AA$7:L25,0))=TRUE,0,#REF!-#REF!)</f>
        <v>0</v>
      </c>
      <c r="H26" s="4">
        <f>IF(ISNUMBER(MATCH("Số tiền rút vượt mức tối đa",$AA$7:L25,0))=TRUE,0,#REF!)</f>
        <v>0</v>
      </c>
    </row>
    <row r="27" spans="5:8" ht="15">
      <c r="E27" s="3">
        <f>1+E26</f>
        <v>27</v>
      </c>
      <c r="F27" s="3">
        <f>1+F26</f>
        <v>57</v>
      </c>
      <c r="G27" s="4">
        <f>IF(ISNUMBER(MATCH("Số tiền rút vượt mức tối đa",$AA$7:L26,0))=TRUE,0,#REF!-#REF!)</f>
        <v>0</v>
      </c>
      <c r="H27" s="4">
        <f>IF(ISNUMBER(MATCH("Số tiền rút vượt mức tối đa",$AA$7:L26,0))=TRUE,0,#REF!)</f>
        <v>0</v>
      </c>
    </row>
    <row r="28" spans="5:8" ht="15">
      <c r="E28" s="3">
        <f>1+E27</f>
        <v>28</v>
      </c>
      <c r="F28" s="3">
        <f>1+F27</f>
        <v>58</v>
      </c>
      <c r="G28" s="4">
        <f>IF(ISNUMBER(MATCH("Số tiền rút vượt mức tối đa",$AA$7:L27,0))=TRUE,0,#REF!-#REF!)</f>
        <v>0</v>
      </c>
      <c r="H28" s="4">
        <f>IF(ISNUMBER(MATCH("Số tiền rút vượt mức tối đa",$AA$7:L27,0))=TRUE,0,#REF!)</f>
        <v>0</v>
      </c>
    </row>
    <row r="29" spans="5:8" ht="15">
      <c r="E29" s="3">
        <f>1+E28</f>
        <v>29</v>
      </c>
      <c r="F29" s="3">
        <f>1+F28</f>
        <v>59</v>
      </c>
      <c r="G29" s="4">
        <f>IF(ISNUMBER(MATCH("Số tiền rút vượt mức tối đa",$AA$7:L28,0))=TRUE,0,#REF!-#REF!)</f>
        <v>0</v>
      </c>
      <c r="H29" s="4">
        <f>IF(ISNUMBER(MATCH("Số tiền rút vượt mức tối đa",$AA$7:L28,0))=TRUE,0,#REF!)</f>
        <v>0</v>
      </c>
    </row>
    <row r="30" spans="5:8" ht="15">
      <c r="E30" s="3">
        <f>1+E29</f>
        <v>30</v>
      </c>
      <c r="F30" s="3">
        <f>1+F29</f>
        <v>60</v>
      </c>
      <c r="G30" s="4">
        <f>IF(ISNUMBER(MATCH("Số tiền rút vượt mức tối đa",$AA$7:L29,0))=TRUE,0,#REF!-#REF!)</f>
        <v>0</v>
      </c>
      <c r="H30" s="4">
        <f>IF(ISNUMBER(MATCH("Số tiền rút vượt mức tối đa",$AA$7:L29,0))=TRUE,0,#REF!)</f>
        <v>0</v>
      </c>
    </row>
    <row r="31" spans="5:8" ht="15">
      <c r="E31" s="3">
        <f>1+E30</f>
        <v>31</v>
      </c>
      <c r="F31" s="3">
        <f>1+F30</f>
        <v>61</v>
      </c>
      <c r="G31" s="4">
        <f>IF(ISNUMBER(MATCH("Số tiền rút vượt mức tối đa",$AA$7:L30,0))=TRUE,0,#REF!-#REF!)</f>
        <v>0</v>
      </c>
      <c r="H31" s="4">
        <f>IF(ISNUMBER(MATCH("Số tiền rút vượt mức tối đa",$AA$7:L30,0))=TRUE,0,#REF!)</f>
        <v>0</v>
      </c>
    </row>
    <row r="32" spans="5:8" ht="15">
      <c r="E32" s="3">
        <f>1+E31</f>
        <v>32</v>
      </c>
      <c r="F32" s="3">
        <f>1+F31</f>
        <v>62</v>
      </c>
      <c r="G32" s="4">
        <f>IF(ISNUMBER(MATCH("Số tiền rút vượt mức tối đa",$AA$7:L31,0))=TRUE,0,#REF!-#REF!)</f>
        <v>0</v>
      </c>
      <c r="H32" s="4">
        <f>IF(ISNUMBER(MATCH("Số tiền rút vượt mức tối đa",$AA$7:L31,0))=TRUE,0,#REF!)</f>
        <v>0</v>
      </c>
    </row>
    <row r="33" spans="5:8" ht="15">
      <c r="E33" s="3">
        <f>1+E32</f>
        <v>33</v>
      </c>
      <c r="F33" s="3">
        <f>1+F32</f>
        <v>63</v>
      </c>
      <c r="G33" s="4">
        <f>IF(ISNUMBER(MATCH("Số tiền rút vượt mức tối đa",$AA$7:L32,0))=TRUE,0,#REF!-#REF!)</f>
        <v>0</v>
      </c>
      <c r="H33" s="4">
        <f>IF(ISNUMBER(MATCH("Số tiền rút vượt mức tối đa",$AA$7:L32,0))=TRUE,0,#REF!)</f>
        <v>0</v>
      </c>
    </row>
    <row r="34" spans="5:8" ht="15">
      <c r="E34" s="3">
        <f>1+E33</f>
        <v>34</v>
      </c>
      <c r="F34" s="3">
        <f>1+F33</f>
        <v>64</v>
      </c>
      <c r="G34" s="4">
        <f>IF(ISNUMBER(MATCH("Số tiền rút vượt mức tối đa",$AA$7:L33,0))=TRUE,0,#REF!-#REF!)</f>
        <v>0</v>
      </c>
      <c r="H34" s="4">
        <f>IF(ISNUMBER(MATCH("Số tiền rút vượt mức tối đa",$AA$7:L33,0))=TRUE,0,#REF!)</f>
        <v>0</v>
      </c>
    </row>
    <row r="35" spans="5:8" ht="15">
      <c r="E35" s="3">
        <f>1+E34</f>
        <v>35</v>
      </c>
      <c r="F35" s="3">
        <f>1+F34</f>
        <v>65</v>
      </c>
      <c r="G35" s="4">
        <f>IF(ISNUMBER(MATCH("Số tiền rút vượt mức tối đa",$AA$7:L34,0))=TRUE,0,#REF!-#REF!)</f>
        <v>0</v>
      </c>
      <c r="H35" s="4">
        <f>IF(ISNUMBER(MATCH("Số tiền rút vượt mức tối đa",$AA$7:L34,0))=TRUE,0,#REF!)</f>
        <v>0</v>
      </c>
    </row>
    <row r="36" spans="5:8" ht="15">
      <c r="E36" s="3">
        <f>1+E35</f>
        <v>36</v>
      </c>
      <c r="F36" s="3">
        <f>1+F35</f>
        <v>66</v>
      </c>
      <c r="G36" s="4">
        <f>IF(ISNUMBER(MATCH("Số tiền rút vượt mức tối đa",$AA$7:L35,0))=TRUE,0,#REF!-#REF!)</f>
        <v>0</v>
      </c>
      <c r="H36" s="4">
        <f>IF(ISNUMBER(MATCH("Số tiền rút vượt mức tối đa",$AA$7:L35,0))=TRUE,0,#REF!)</f>
        <v>0</v>
      </c>
    </row>
    <row r="37" spans="5:8" ht="15">
      <c r="E37" s="3">
        <f>1+E36</f>
        <v>37</v>
      </c>
      <c r="F37" s="3">
        <f>1+F36</f>
        <v>67</v>
      </c>
      <c r="G37" s="4">
        <f>IF(ISNUMBER(MATCH("Số tiền rút vượt mức tối đa",$AA$7:L36,0))=TRUE,0,#REF!-#REF!)</f>
        <v>0</v>
      </c>
      <c r="H37" s="4">
        <f>IF(ISNUMBER(MATCH("Số tiền rút vượt mức tối đa",$AA$7:L36,0))=TRUE,0,#REF!)</f>
        <v>0</v>
      </c>
    </row>
    <row r="38" spans="5:8" ht="15">
      <c r="E38" s="3">
        <f>1+E37</f>
        <v>38</v>
      </c>
      <c r="F38" s="3">
        <f>1+F37</f>
        <v>68</v>
      </c>
      <c r="G38" s="4">
        <f>IF(ISNUMBER(MATCH("Số tiền rút vượt mức tối đa",$AA$7:L37,0))=TRUE,0,#REF!-#REF!)</f>
        <v>0</v>
      </c>
      <c r="H38" s="4">
        <f>IF(ISNUMBER(MATCH("Số tiền rút vượt mức tối đa",$AA$7:L37,0))=TRUE,0,#REF!)</f>
        <v>0</v>
      </c>
    </row>
    <row r="39" spans="5:8" ht="15">
      <c r="E39" s="3">
        <f>1+E38</f>
        <v>39</v>
      </c>
      <c r="F39" s="3">
        <f>1+F38</f>
        <v>69</v>
      </c>
      <c r="G39" s="4">
        <f>IF(ISNUMBER(MATCH("Số tiền rút vượt mức tối đa",$AA$7:L38,0))=TRUE,0,#REF!-#REF!)</f>
        <v>0</v>
      </c>
      <c r="H39" s="4">
        <f>IF(ISNUMBER(MATCH("Số tiền rút vượt mức tối đa",$AA$7:L38,0))=TRUE,0,#REF!)</f>
        <v>0</v>
      </c>
    </row>
    <row r="40" spans="5:8" ht="15">
      <c r="E40" s="3">
        <f>1+E39</f>
        <v>40</v>
      </c>
      <c r="F40" s="3">
        <f>1+F39</f>
        <v>70</v>
      </c>
      <c r="G40" s="4">
        <f>IF(ISNUMBER(MATCH("Số tiền rút vượt mức tối đa",$AA$7:L39,0))=TRUE,0,#REF!-#REF!)</f>
        <v>0</v>
      </c>
      <c r="H40" s="4">
        <f>IF(ISNUMBER(MATCH("Số tiền rút vượt mức tối đa",$AA$7:L39,0))=TRUE,0,#REF!)</f>
        <v>0</v>
      </c>
    </row>
    <row r="41" spans="5:8" ht="15">
      <c r="E41" s="3">
        <f>1+E40</f>
        <v>41</v>
      </c>
      <c r="F41" s="3">
        <f>1+F40</f>
        <v>71</v>
      </c>
      <c r="G41" s="4">
        <f>IF(ISNUMBER(MATCH("Số tiền rút vượt mức tối đa",$AA$7:L40,0))=TRUE,0,#REF!-#REF!)</f>
        <v>0</v>
      </c>
      <c r="H41" s="4">
        <f>IF(ISNUMBER(MATCH("Số tiền rút vượt mức tối đa",$AA$7:L40,0))=TRUE,0,#REF!)</f>
        <v>0</v>
      </c>
    </row>
    <row r="42" spans="5:8" ht="15">
      <c r="E42" s="3">
        <f>1+E41</f>
        <v>42</v>
      </c>
      <c r="F42" s="3">
        <f>1+F41</f>
        <v>72</v>
      </c>
      <c r="G42" s="4">
        <f>IF(ISNUMBER(MATCH("Số tiền rút vượt mức tối đa",$AA$7:L41,0))=TRUE,0,#REF!-#REF!)</f>
        <v>0</v>
      </c>
      <c r="H42" s="4">
        <f>IF(ISNUMBER(MATCH("Số tiền rút vượt mức tối đa",$AA$7:L41,0))=TRUE,0,#REF!)</f>
        <v>0</v>
      </c>
    </row>
    <row r="43" spans="5:8" ht="15">
      <c r="E43" s="3">
        <f>1+E42</f>
        <v>43</v>
      </c>
      <c r="F43" s="3">
        <f>1+F42</f>
        <v>73</v>
      </c>
      <c r="G43" s="4">
        <f>IF(ISNUMBER(MATCH("Số tiền rút vượt mức tối đa",$AA$7:L42,0))=TRUE,0,#REF!-#REF!)</f>
        <v>0</v>
      </c>
      <c r="H43" s="4">
        <f>IF(ISNUMBER(MATCH("Số tiền rút vượt mức tối đa",$AA$7:L42,0))=TRUE,0,#REF!)</f>
        <v>0</v>
      </c>
    </row>
    <row r="44" spans="5:8" ht="15">
      <c r="E44" s="3">
        <f>1+E43</f>
        <v>44</v>
      </c>
      <c r="F44" s="3">
        <f>1+F43</f>
        <v>74</v>
      </c>
      <c r="G44" s="4">
        <f>IF(ISNUMBER(MATCH("Số tiền rút vượt mức tối đa",$AA$7:L43,0))=TRUE,0,#REF!-#REF!)</f>
        <v>0</v>
      </c>
      <c r="H44" s="4">
        <f>IF(ISNUMBER(MATCH("Số tiền rút vượt mức tối đa",$AA$7:L43,0))=TRUE,0,#REF!)</f>
        <v>0</v>
      </c>
    </row>
    <row r="45" spans="5:8" ht="15">
      <c r="E45" s="3">
        <f>1+E44</f>
        <v>45</v>
      </c>
      <c r="F45" s="3">
        <f>1+F44</f>
        <v>75</v>
      </c>
      <c r="G45" s="4">
        <f>IF(ISNUMBER(MATCH("Số tiền rút vượt mức tối đa",$AA$7:L44,0))=TRUE,0,#REF!-#REF!)</f>
        <v>0</v>
      </c>
      <c r="H45" s="4">
        <f>IF(ISNUMBER(MATCH("Số tiền rút vượt mức tối đa",$AA$7:L44,0))=TRUE,0,#REF!)</f>
        <v>0</v>
      </c>
    </row>
    <row r="46" spans="5:8" ht="15">
      <c r="E46" s="3">
        <f>1+E45</f>
        <v>46</v>
      </c>
      <c r="F46" s="3">
        <f>1+F45</f>
        <v>76</v>
      </c>
      <c r="G46" s="4">
        <f>IF(ISNUMBER(MATCH("Số tiền rút vượt mức tối đa",$AA$7:L45,0))=TRUE,0,#REF!-#REF!)</f>
        <v>0</v>
      </c>
      <c r="H46" s="4">
        <f>IF(ISNUMBER(MATCH("Số tiền rút vượt mức tối đa",$AA$7:L45,0))=TRUE,0,#REF!)</f>
        <v>0</v>
      </c>
    </row>
    <row r="47" spans="5:8" ht="15">
      <c r="E47" s="3">
        <f>1+E46</f>
        <v>47</v>
      </c>
      <c r="F47" s="3">
        <f>1+F46</f>
        <v>77</v>
      </c>
      <c r="G47" s="4">
        <f>IF(ISNUMBER(MATCH("Số tiền rút vượt mức tối đa",$AA$7:L46,0))=TRUE,0,#REF!-#REF!)</f>
        <v>0</v>
      </c>
      <c r="H47" s="4">
        <f>IF(ISNUMBER(MATCH("Số tiền rút vượt mức tối đa",$AA$7:L46,0))=TRUE,0,#REF!)</f>
        <v>0</v>
      </c>
    </row>
    <row r="48" spans="5:8" ht="15">
      <c r="E48" s="3">
        <f>1+E47</f>
        <v>48</v>
      </c>
      <c r="F48" s="3">
        <f>1+F47</f>
        <v>78</v>
      </c>
      <c r="G48" s="4">
        <f>IF(ISNUMBER(MATCH("Số tiền rút vượt mức tối đa",$AA$7:L47,0))=TRUE,0,#REF!-#REF!)</f>
        <v>0</v>
      </c>
      <c r="H48" s="4">
        <f>IF(ISNUMBER(MATCH("Số tiền rút vượt mức tối đa",$AA$7:L47,0))=TRUE,0,#REF!)</f>
        <v>0</v>
      </c>
    </row>
    <row r="49" spans="5:8" ht="15">
      <c r="E49" s="3">
        <f>1+E48</f>
        <v>49</v>
      </c>
      <c r="F49" s="3">
        <f>1+F48</f>
        <v>79</v>
      </c>
      <c r="G49" s="4">
        <f>IF(ISNUMBER(MATCH("Số tiền rút vượt mức tối đa",$AA$7:L48,0))=TRUE,0,#REF!-#REF!)</f>
        <v>0</v>
      </c>
      <c r="H49" s="4">
        <f>IF(ISNUMBER(MATCH("Số tiền rút vượt mức tối đa",$AA$7:L48,0))=TRUE,0,#REF!)</f>
        <v>0</v>
      </c>
    </row>
    <row r="50" spans="5:8" ht="15">
      <c r="E50" s="3">
        <f>1+E49</f>
        <v>50</v>
      </c>
      <c r="F50" s="3">
        <f>1+F49</f>
        <v>80</v>
      </c>
      <c r="G50" s="4">
        <f>IF(ISNUMBER(MATCH("Số tiền rút vượt mức tối đa",$AA$7:L49,0))=TRUE,0,#REF!-#REF!)</f>
        <v>0</v>
      </c>
      <c r="H50" s="4">
        <f>IF(ISNUMBER(MATCH("Số tiền rút vượt mức tối đa",$AA$7:L49,0))=TRUE,0,#REF!)</f>
        <v>0</v>
      </c>
    </row>
    <row r="51" spans="5:8" ht="15">
      <c r="E51" s="3">
        <f>1+E50</f>
        <v>51</v>
      </c>
      <c r="F51" s="3">
        <f>1+F50</f>
        <v>81</v>
      </c>
      <c r="G51" s="4">
        <f>IF(ISNUMBER(MATCH("Số tiền rút vượt mức tối đa",$AA$7:L50,0))=TRUE,0,#REF!-#REF!)</f>
        <v>0</v>
      </c>
      <c r="H51" s="4">
        <f>IF(ISNUMBER(MATCH("Số tiền rút vượt mức tối đa",$AA$7:L50,0))=TRUE,0,#REF!)</f>
        <v>0</v>
      </c>
    </row>
    <row r="52" spans="5:8" ht="15">
      <c r="E52" s="3">
        <f>1+E51</f>
        <v>52</v>
      </c>
      <c r="F52" s="3">
        <f>1+F51</f>
        <v>82</v>
      </c>
      <c r="G52" s="4">
        <f>IF(ISNUMBER(MATCH("Số tiền rút vượt mức tối đa",$AA$7:L51,0))=TRUE,0,#REF!-#REF!)</f>
        <v>0</v>
      </c>
      <c r="H52" s="4">
        <f>IF(ISNUMBER(MATCH("Số tiền rút vượt mức tối đa",$AA$7:L51,0))=TRUE,0,#REF!)</f>
        <v>0</v>
      </c>
    </row>
    <row r="53" spans="5:8" ht="15">
      <c r="E53" s="3">
        <f>1+E52</f>
        <v>53</v>
      </c>
      <c r="F53" s="3">
        <f>1+F52</f>
        <v>83</v>
      </c>
      <c r="G53" s="4">
        <f>IF(ISNUMBER(MATCH("Số tiền rút vượt mức tối đa",$AA$7:L52,0))=TRUE,0,#REF!-#REF!)</f>
        <v>0</v>
      </c>
      <c r="H53" s="4">
        <f>IF(ISNUMBER(MATCH("Số tiền rút vượt mức tối đa",$AA$7:L52,0))=TRUE,0,#REF!)</f>
        <v>0</v>
      </c>
    </row>
    <row r="54" spans="5:8" ht="15">
      <c r="E54" s="3">
        <f>1+E53</f>
        <v>54</v>
      </c>
      <c r="F54" s="3">
        <f>1+F53</f>
        <v>84</v>
      </c>
      <c r="G54" s="4">
        <f>IF(ISNUMBER(MATCH("Số tiền rút vượt mức tối đa",$AA$7:L53,0))=TRUE,0,#REF!-#REF!)</f>
        <v>0</v>
      </c>
      <c r="H54" s="4">
        <f>IF(ISNUMBER(MATCH("Số tiền rút vượt mức tối đa",$AA$7:L53,0))=TRUE,0,#REF!)</f>
        <v>0</v>
      </c>
    </row>
    <row r="55" spans="5:8" ht="15">
      <c r="E55" s="3">
        <f>1+E54</f>
        <v>55</v>
      </c>
      <c r="F55" s="3">
        <f>1+F54</f>
        <v>85</v>
      </c>
      <c r="G55" s="4">
        <f>IF(ISNUMBER(MATCH("Số tiền rút vượt mức tối đa",$AA$7:L54,0))=TRUE,0,#REF!-#REF!)</f>
        <v>0</v>
      </c>
      <c r="H55" s="4">
        <f>IF(ISNUMBER(MATCH("Số tiền rút vượt mức tối đa",$AA$7:L54,0))=TRUE,0,#REF!)</f>
        <v>0</v>
      </c>
    </row>
    <row r="56" spans="5:8" ht="15">
      <c r="E56" s="3">
        <f>1+E55</f>
        <v>56</v>
      </c>
      <c r="F56" s="3">
        <f>1+F55</f>
        <v>86</v>
      </c>
      <c r="G56" s="4">
        <f>IF(ISNUMBER(MATCH("Số tiền rút vượt mức tối đa",$AA$7:L55,0))=TRUE,0,#REF!-#REF!)</f>
        <v>0</v>
      </c>
      <c r="H56" s="4">
        <f>IF(ISNUMBER(MATCH("Số tiền rút vượt mức tối đa",$AA$7:L55,0))=TRUE,0,#REF!)</f>
        <v>0</v>
      </c>
    </row>
    <row r="57" spans="5:8" ht="15">
      <c r="E57" s="3">
        <f>1+E56</f>
        <v>57</v>
      </c>
      <c r="F57" s="3">
        <f>1+F56</f>
        <v>87</v>
      </c>
      <c r="G57" s="4">
        <f>IF(ISNUMBER(MATCH("Số tiền rút vượt mức tối đa",$AA$7:L56,0))=TRUE,0,#REF!-#REF!)</f>
        <v>0</v>
      </c>
      <c r="H57" s="4">
        <f>IF(ISNUMBER(MATCH("Số tiền rút vượt mức tối đa",$AA$7:L56,0))=TRUE,0,#REF!)</f>
        <v>0</v>
      </c>
    </row>
    <row r="58" spans="5:8" ht="15">
      <c r="E58" s="3">
        <f>1+E57</f>
        <v>58</v>
      </c>
      <c r="F58" s="3">
        <f>1+F57</f>
        <v>88</v>
      </c>
      <c r="G58" s="4">
        <f>IF(ISNUMBER(MATCH("Số tiền rút vượt mức tối đa",$AA$7:L57,0))=TRUE,0,#REF!-#REF!)</f>
        <v>0</v>
      </c>
      <c r="H58" s="4">
        <f>IF(ISNUMBER(MATCH("Số tiền rút vượt mức tối đa",$AA$7:L57,0))=TRUE,0,#REF!)</f>
        <v>0</v>
      </c>
    </row>
    <row r="59" spans="5:8" ht="15">
      <c r="E59" s="3">
        <f>1+E58</f>
        <v>59</v>
      </c>
      <c r="F59" s="3">
        <f>1+F58</f>
        <v>89</v>
      </c>
      <c r="G59" s="4">
        <f>IF(ISNUMBER(MATCH("Số tiền rút vượt mức tối đa",$AA$7:L58,0))=TRUE,0,#REF!-#REF!)</f>
        <v>0</v>
      </c>
      <c r="H59" s="4">
        <f>IF(ISNUMBER(MATCH("Số tiền rút vượt mức tối đa",$AA$7:L58,0))=TRUE,0,#REF!)</f>
        <v>0</v>
      </c>
    </row>
    <row r="60" spans="5:8" ht="15">
      <c r="E60" s="3">
        <f>1+E59</f>
        <v>60</v>
      </c>
      <c r="F60" s="3">
        <f>1+F59</f>
        <v>90</v>
      </c>
      <c r="G60" s="4">
        <f>IF(ISNUMBER(MATCH("Số tiền rút vượt mức tối đa",$AA$7:L59,0))=TRUE,0,#REF!-#REF!)</f>
        <v>0</v>
      </c>
      <c r="H60" s="4">
        <f>IF(ISNUMBER(MATCH("Số tiền rút vượt mức tối đa",$AA$7:L59,0))=TRUE,0,#REF!)</f>
        <v>0</v>
      </c>
    </row>
    <row r="61" spans="5:8" ht="15">
      <c r="E61" s="3">
        <f>1+E60</f>
        <v>61</v>
      </c>
      <c r="F61" s="3">
        <f>1+F60</f>
        <v>91</v>
      </c>
      <c r="G61" s="4">
        <f>IF(ISNUMBER(MATCH("Số tiền rút vượt mức tối đa",$AA$7:L60,0))=TRUE,0,#REF!-#REF!)</f>
        <v>0</v>
      </c>
      <c r="H61" s="4">
        <f>IF(ISNUMBER(MATCH("Số tiền rút vượt mức tối đa",$AA$7:L60,0))=TRUE,0,#REF!)</f>
        <v>0</v>
      </c>
    </row>
    <row r="62" spans="5:8" ht="15">
      <c r="E62" s="3">
        <f>1+E61</f>
        <v>62</v>
      </c>
      <c r="F62" s="3">
        <f>1+F61</f>
        <v>92</v>
      </c>
      <c r="G62" s="4">
        <f>IF(ISNUMBER(MATCH("Số tiền rút vượt mức tối đa",$AA$7:L61,0))=TRUE,0,#REF!-#REF!)</f>
        <v>0</v>
      </c>
      <c r="H62" s="4">
        <f>IF(ISNUMBER(MATCH("Số tiền rút vượt mức tối đa",$AA$7:L61,0))=TRUE,0,#REF!)</f>
        <v>0</v>
      </c>
    </row>
    <row r="63" spans="5:8" ht="15">
      <c r="E63" s="3">
        <f>1+E62</f>
        <v>63</v>
      </c>
      <c r="F63" s="3">
        <f>1+F62</f>
        <v>93</v>
      </c>
      <c r="G63" s="4">
        <f>IF(ISNUMBER(MATCH("Số tiền rút vượt mức tối đa",$AA$7:L62,0))=TRUE,0,#REF!-#REF!)</f>
        <v>0</v>
      </c>
      <c r="H63" s="4">
        <f>IF(ISNUMBER(MATCH("Số tiền rút vượt mức tối đa",$AA$7:L62,0))=TRUE,0,#REF!)</f>
        <v>0</v>
      </c>
    </row>
    <row r="64" spans="5:8" ht="15">
      <c r="E64" s="3">
        <f>1+E63</f>
        <v>64</v>
      </c>
      <c r="F64" s="3">
        <f>1+F63</f>
        <v>94</v>
      </c>
      <c r="G64" s="4">
        <f>IF(ISNUMBER(MATCH("Số tiền rút vượt mức tối đa",$AA$7:L63,0))=TRUE,0,#REF!-#REF!)</f>
        <v>0</v>
      </c>
      <c r="H64" s="4">
        <f>IF(ISNUMBER(MATCH("Số tiền rút vượt mức tối đa",$AA$7:L63,0))=TRUE,0,#REF!)</f>
        <v>0</v>
      </c>
    </row>
    <row r="65" spans="5:8" ht="15">
      <c r="E65" s="3">
        <f>1+E64</f>
        <v>65</v>
      </c>
      <c r="F65" s="3">
        <f>1+F64</f>
        <v>95</v>
      </c>
      <c r="G65" s="4">
        <f>IF(ISNUMBER(MATCH("Số tiền rút vượt mức tối đa",$AA$7:L64,0))=TRUE,0,#REF!-#REF!)</f>
        <v>0</v>
      </c>
      <c r="H65" s="4">
        <f>IF(ISNUMBER(MATCH("Số tiền rút vượt mức tối đa",$AA$7:L64,0))=TRUE,0,#REF!)</f>
        <v>0</v>
      </c>
    </row>
    <row r="66" spans="5:8" ht="15">
      <c r="E66" s="3">
        <f>1+E65</f>
        <v>66</v>
      </c>
      <c r="F66" s="3">
        <f>1+F65</f>
        <v>96</v>
      </c>
      <c r="G66" s="4">
        <f>IF(ISNUMBER(MATCH("Số tiền rút vượt mức tối đa",$AA$7:L65,0))=TRUE,0,#REF!-#REF!)</f>
        <v>0</v>
      </c>
      <c r="H66" s="4">
        <f>IF(ISNUMBER(MATCH("Số tiền rút vượt mức tối đa",$AA$7:L65,0))=TRUE,0,#REF!)</f>
        <v>0</v>
      </c>
    </row>
    <row r="67" spans="5:8" ht="15">
      <c r="E67" s="3">
        <f>1+E66</f>
        <v>67</v>
      </c>
      <c r="F67" s="3">
        <f>1+F66</f>
        <v>97</v>
      </c>
      <c r="G67" s="4">
        <f>IF(ISNUMBER(MATCH("Số tiền rút vượt mức tối đa",$AA$7:L66,0))=TRUE,0,#REF!-#REF!)</f>
        <v>0</v>
      </c>
      <c r="H67" s="4">
        <f>IF(ISNUMBER(MATCH("Số tiền rút vượt mức tối đa",$AA$7:L66,0))=TRUE,0,#REF!)</f>
        <v>0</v>
      </c>
    </row>
    <row r="68" spans="5:8" ht="15">
      <c r="E68" s="3">
        <f>1+E67</f>
        <v>68</v>
      </c>
      <c r="F68" s="3">
        <f>1+F67</f>
        <v>98</v>
      </c>
      <c r="G68" s="4">
        <f>IF(ISNUMBER(MATCH("Số tiền rút vượt mức tối đa",$AA$7:L67,0))=TRUE,0,#REF!-#REF!)</f>
        <v>0</v>
      </c>
      <c r="H68" s="4">
        <f>IF(ISNUMBER(MATCH("Số tiền rút vượt mức tối đa",$AA$7:L67,0))=TRUE,0,#REF!)</f>
        <v>0</v>
      </c>
    </row>
    <row r="69" spans="5:8" ht="15">
      <c r="E69" s="3">
        <f>1+E68</f>
        <v>69</v>
      </c>
      <c r="F69" s="3">
        <f>1+F68</f>
        <v>99</v>
      </c>
      <c r="G69" s="4">
        <f>IF(ISNUMBER(MATCH("Số tiền rút vượt mức tối đa",$AA$7:L68,0))=TRUE,0,#REF!-#REF!)</f>
        <v>0</v>
      </c>
      <c r="H69" s="4">
        <f>IF(ISNUMBER(MATCH("Số tiền rút vượt mức tối đa",$AA$7:L68,0))=TRUE,0,#REF!)</f>
        <v>0</v>
      </c>
    </row>
    <row r="70" spans="5:8" ht="15">
      <c r="E70" s="3">
        <f>1+E69</f>
        <v>70</v>
      </c>
      <c r="F70" s="3">
        <f>1+F69</f>
        <v>100</v>
      </c>
      <c r="G70" s="4">
        <f>IF(ISNUMBER(MATCH("Số tiền rút vượt mức tối đa",$AA$7:L69,0))=TRUE,0,#REF!-#REF!)</f>
        <v>0</v>
      </c>
      <c r="H70" s="4">
        <f>IF(ISNUMBER(MATCH("Số tiền rút vượt mức tối đa",$AA$7:L69,0))=TRUE,0,#REF!)</f>
        <v>0</v>
      </c>
    </row>
    <row r="71" spans="5:8" ht="15">
      <c r="E71" s="3">
        <f>1+E70</f>
        <v>71</v>
      </c>
      <c r="F71" s="3">
        <f>1+F70</f>
        <v>101</v>
      </c>
      <c r="G71" s="4">
        <f>IF(ISNUMBER(MATCH("Số tiền rút vượt mức tối đa",$AA$7:L70,0))=TRUE,0,#REF!-#REF!)</f>
        <v>0</v>
      </c>
      <c r="H71" s="4">
        <f>IF(ISNUMBER(MATCH("Số tiền rút vượt mức tối đa",$AA$7:L70,0))=TRUE,0,#REF!)</f>
        <v>0</v>
      </c>
    </row>
    <row r="72" spans="5:8" ht="15">
      <c r="E72" s="3">
        <f>1+E71</f>
        <v>72</v>
      </c>
      <c r="F72" s="3">
        <f>1+F71</f>
        <v>102</v>
      </c>
      <c r="G72" s="4">
        <f>IF(ISNUMBER(MATCH("Số tiền rút vượt mức tối đa",$AA$7:L71,0))=TRUE,0,#REF!-#REF!)</f>
        <v>0</v>
      </c>
      <c r="H72" s="4">
        <f>IF(ISNUMBER(MATCH("Số tiền rút vượt mức tối đa",$AA$7:L71,0))=TRUE,0,#REF!)</f>
        <v>0</v>
      </c>
    </row>
    <row r="73" spans="5:8" ht="15">
      <c r="E73" s="3">
        <f>1+E72</f>
        <v>73</v>
      </c>
      <c r="F73" s="3">
        <f>1+F72</f>
        <v>103</v>
      </c>
      <c r="G73" s="4">
        <f>IF(ISNUMBER(MATCH("Số tiền rút vượt mức tối đa",$AA$7:L72,0))=TRUE,0,#REF!-#REF!)</f>
        <v>0</v>
      </c>
      <c r="H73" s="4">
        <f>IF(ISNUMBER(MATCH("Số tiền rút vượt mức tối đa",$AA$7:L72,0))=TRUE,0,#REF!)</f>
        <v>0</v>
      </c>
    </row>
    <row r="74" spans="5:8" ht="15">
      <c r="E74" s="3">
        <f>1+E73</f>
        <v>74</v>
      </c>
      <c r="F74" s="3">
        <f>1+F73</f>
        <v>104</v>
      </c>
      <c r="G74" s="4">
        <f>IF(ISNUMBER(MATCH("Số tiền rút vượt mức tối đa",$AA$7:L73,0))=TRUE,0,#REF!-#REF!)</f>
        <v>0</v>
      </c>
      <c r="H74" s="4">
        <f>IF(ISNUMBER(MATCH("Số tiền rút vượt mức tối đa",$AA$7:L73,0))=TRUE,0,#REF!)</f>
        <v>0</v>
      </c>
    </row>
    <row r="75" spans="5:8" ht="15">
      <c r="E75" s="3">
        <f>1+E74</f>
        <v>75</v>
      </c>
      <c r="F75" s="3">
        <f>1+F74</f>
        <v>105</v>
      </c>
      <c r="G75" s="4">
        <f>IF(ISNUMBER(MATCH("Số tiền rút vượt mức tối đa",$AA$7:L74,0))=TRUE,0,#REF!-#REF!)</f>
        <v>0</v>
      </c>
      <c r="H75" s="4">
        <f>IF(ISNUMBER(MATCH("Số tiền rút vượt mức tối đa",$AA$7:L74,0))=TRUE,0,#REF!)</f>
        <v>0</v>
      </c>
    </row>
    <row r="76" spans="5:8" ht="15">
      <c r="E76" s="3">
        <f>1+E75</f>
        <v>76</v>
      </c>
      <c r="F76" s="3">
        <f>1+F75</f>
        <v>106</v>
      </c>
      <c r="G76" s="4">
        <f>IF(ISNUMBER(MATCH("Số tiền rút vượt mức tối đa",$AA$7:L75,0))=TRUE,0,#REF!-#REF!)</f>
        <v>0</v>
      </c>
      <c r="H76" s="4">
        <f>IF(ISNUMBER(MATCH("Số tiền rút vượt mức tối đa",$AA$7:L75,0))=TRUE,0,#REF!)</f>
        <v>0</v>
      </c>
    </row>
    <row r="77" spans="5:8" ht="15">
      <c r="E77" s="3">
        <f>1+E76</f>
        <v>77</v>
      </c>
      <c r="F77" s="3">
        <f>1+F76</f>
        <v>107</v>
      </c>
      <c r="G77" s="4">
        <f>IF(ISNUMBER(MATCH("Số tiền rút vượt mức tối đa",$AA$7:L76,0))=TRUE,0,#REF!-#REF!)</f>
        <v>0</v>
      </c>
      <c r="H77" s="4">
        <f>IF(ISNUMBER(MATCH("Số tiền rút vượt mức tối đa",$AA$7:L76,0))=TRUE,0,#REF!)</f>
        <v>0</v>
      </c>
    </row>
    <row r="78" spans="5:8" ht="15">
      <c r="E78" s="3">
        <f>1+E77</f>
        <v>78</v>
      </c>
      <c r="F78" s="3">
        <f>1+F77</f>
        <v>108</v>
      </c>
      <c r="G78" s="4">
        <f>IF(ISNUMBER(MATCH("Số tiền rút vượt mức tối đa",$AA$7:L77,0))=TRUE,0,#REF!-#REF!)</f>
        <v>0</v>
      </c>
      <c r="H78" s="4">
        <f>IF(ISNUMBER(MATCH("Số tiền rút vượt mức tối đa",$AA$7:L77,0))=TRUE,0,#REF!)</f>
        <v>0</v>
      </c>
    </row>
    <row r="79" spans="5:8" ht="15">
      <c r="E79" s="3">
        <f>1+E78</f>
        <v>79</v>
      </c>
      <c r="F79" s="3">
        <f>1+F78</f>
        <v>109</v>
      </c>
      <c r="G79" s="4">
        <f>IF(ISNUMBER(MATCH("Số tiền rút vượt mức tối đa",$AA$7:L78,0))=TRUE,0,#REF!-#REF!)</f>
        <v>0</v>
      </c>
      <c r="H79" s="4">
        <f>IF(ISNUMBER(MATCH("Số tiền rút vượt mức tối đa",$AA$7:L78,0))=TRUE,0,#REF!)</f>
        <v>0</v>
      </c>
    </row>
    <row r="80" spans="5:8" ht="15">
      <c r="E80" s="3">
        <f>1+E79</f>
        <v>80</v>
      </c>
      <c r="F80" s="3">
        <f>1+F79</f>
        <v>110</v>
      </c>
      <c r="G80" s="4">
        <f>IF(ISNUMBER(MATCH("Số tiền rút vượt mức tối đa",$AA$7:L79,0))=TRUE,0,#REF!-#REF!)</f>
        <v>0</v>
      </c>
      <c r="H80" s="4">
        <f>IF(ISNUMBER(MATCH("Số tiền rút vượt mức tối đa",$AA$7:L79,0))=TRUE,0,#REF!)</f>
        <v>0</v>
      </c>
    </row>
    <row r="81" spans="5:8" ht="15">
      <c r="E81" s="3">
        <f>1+E80</f>
        <v>81</v>
      </c>
      <c r="F81" s="3">
        <f>1+F80</f>
        <v>111</v>
      </c>
      <c r="G81" s="4">
        <f>IF(ISNUMBER(MATCH("Số tiền rút vượt mức tối đa",$AA$7:L80,0))=TRUE,0,#REF!-#REF!)</f>
        <v>0</v>
      </c>
      <c r="H81" s="4">
        <f>IF(ISNUMBER(MATCH("Số tiền rút vượt mức tối đa",$AA$7:L80,0))=TRUE,0,#REF!)</f>
        <v>0</v>
      </c>
    </row>
    <row r="82" spans="5:8" ht="15">
      <c r="E82" s="3">
        <f>1+E81</f>
        <v>82</v>
      </c>
      <c r="F82" s="3">
        <f>1+F81</f>
        <v>112</v>
      </c>
      <c r="G82" s="4">
        <f>IF(ISNUMBER(MATCH("Số tiền rút vượt mức tối đa",$AA$7:L81,0))=TRUE,0,#REF!-#REF!)</f>
        <v>0</v>
      </c>
      <c r="H82" s="4">
        <f>IF(ISNUMBER(MATCH("Số tiền rút vượt mức tối đa",$AA$7:L81,0))=TRUE,0,#REF!)</f>
        <v>0</v>
      </c>
    </row>
    <row r="83" spans="5:8" ht="15">
      <c r="E83" s="3">
        <f>1+E82</f>
        <v>83</v>
      </c>
      <c r="F83" s="3">
        <f>1+F82</f>
        <v>113</v>
      </c>
      <c r="G83" s="4">
        <f>IF(ISNUMBER(MATCH("Số tiền rút vượt mức tối đa",$AA$7:L82,0))=TRUE,0,#REF!-#REF!)</f>
        <v>0</v>
      </c>
      <c r="H83" s="4">
        <f>IF(ISNUMBER(MATCH("Số tiền rút vượt mức tối đa",$AA$7:L82,0))=TRUE,0,#REF!)</f>
        <v>0</v>
      </c>
    </row>
    <row r="84" spans="5:8" ht="15">
      <c r="E84" s="3">
        <f>1+E83</f>
        <v>84</v>
      </c>
      <c r="F84" s="3">
        <f>1+F83</f>
        <v>114</v>
      </c>
      <c r="G84" s="4">
        <f>IF(ISNUMBER(MATCH("Số tiền rút vượt mức tối đa",$AA$7:L83,0))=TRUE,0,#REF!-#REF!)</f>
        <v>0</v>
      </c>
      <c r="H84" s="4">
        <f>IF(ISNUMBER(MATCH("Số tiền rút vượt mức tối đa",$AA$7:L83,0))=TRUE,0,#REF!)</f>
        <v>0</v>
      </c>
    </row>
    <row r="85" spans="5:8" ht="15">
      <c r="E85" s="5">
        <f>1+E84</f>
        <v>85</v>
      </c>
      <c r="F85" s="5">
        <f>1+F84</f>
        <v>115</v>
      </c>
      <c r="G85" s="6">
        <f>IF(ISNUMBER(MATCH("Số tiền rút vượt mức tối đa",$AA$7:L84,0))=TRUE,0,#REF!-#REF!)</f>
        <v>0</v>
      </c>
      <c r="H85" s="6">
        <f>IF(ISNUMBER(MATCH("Số tiền rút vượt mức tối đa",$AA$7:L84,0))=TRUE,0,#REF!)</f>
        <v>0</v>
      </c>
    </row>
    <row r="86" spans="5:8" ht="15">
      <c r="E86" s="5">
        <f>1+E85</f>
        <v>86</v>
      </c>
      <c r="F86" s="5">
        <f>1+F85</f>
        <v>116</v>
      </c>
      <c r="G86" s="6">
        <f>IF(ISNUMBER(MATCH("Số tiền rút vượt mức tối đa",$AA$7:L85,0))=TRUE,0,#REF!-#REF!)</f>
        <v>0</v>
      </c>
      <c r="H86" s="6">
        <f>IF(ISNUMBER(MATCH("Số tiền rút vượt mức tối đa",$AA$7:L85,0))=TRUE,0,#REF!)</f>
        <v>0</v>
      </c>
    </row>
    <row r="87" spans="5:8" ht="15">
      <c r="E87" s="5">
        <f>1+E86</f>
        <v>87</v>
      </c>
      <c r="F87" s="5">
        <f>1+F86</f>
        <v>117</v>
      </c>
      <c r="G87" s="6">
        <f>IF(ISNUMBER(MATCH("Số tiền rút vượt mức tối đa",$AA$7:L86,0))=TRUE,0,#REF!-#REF!)</f>
        <v>0</v>
      </c>
      <c r="H87" s="6">
        <f>IF(ISNUMBER(MATCH("Số tiền rút vượt mức tối đa",$AA$7:L86,0))=TRUE,0,#REF!)</f>
        <v>0</v>
      </c>
    </row>
    <row r="88" spans="5:8" ht="15">
      <c r="E88" s="5">
        <f>1+E87</f>
        <v>88</v>
      </c>
      <c r="F88" s="5">
        <f>1+F87</f>
        <v>118</v>
      </c>
      <c r="G88" s="6">
        <f>IF(ISNUMBER(MATCH("Số tiền rút vượt mức tối đa",$AA$7:L87,0))=TRUE,0,#REF!-#REF!)</f>
        <v>0</v>
      </c>
      <c r="H88" s="6">
        <f>IF(ISNUMBER(MATCH("Số tiền rút vượt mức tối đa",$AA$7:L87,0))=TRUE,0,#REF!)</f>
        <v>0</v>
      </c>
    </row>
    <row r="89" spans="5:8" ht="15">
      <c r="E89" s="5">
        <f>1+E88</f>
        <v>89</v>
      </c>
      <c r="F89" s="5">
        <f>1+F88</f>
        <v>119</v>
      </c>
      <c r="G89" s="6">
        <f>IF(ISNUMBER(MATCH("Số tiền rút vượt mức tối đa",$AA$7:L88,0))=TRUE,0,#REF!-#REF!)</f>
        <v>0</v>
      </c>
      <c r="H89" s="6">
        <f>IF(ISNUMBER(MATCH("Số tiền rút vượt mức tối đa",$AA$7:L88,0))=TRUE,0,#REF!)</f>
        <v>0</v>
      </c>
    </row>
    <row r="90" spans="5:8" ht="15">
      <c r="E90" s="5">
        <f>1+E89</f>
        <v>90</v>
      </c>
      <c r="F90" s="5">
        <f>1+F89</f>
        <v>120</v>
      </c>
      <c r="G90" s="6">
        <f>IF(ISNUMBER(MATCH("Số tiền rút vượt mức tối đa",$AA$7:L89,0))=TRUE,0,#REF!-#REF!)</f>
        <v>0</v>
      </c>
      <c r="H90" s="6">
        <f>IF(ISNUMBER(MATCH("Số tiền rút vượt mức tối đa",$AA$7:L89,0))=TRUE,0,#REF!)</f>
        <v>0</v>
      </c>
    </row>
    <row r="91" spans="5:8" ht="15">
      <c r="E91" s="5">
        <f>1+E90</f>
        <v>91</v>
      </c>
      <c r="F91" s="5">
        <f>1+F90</f>
        <v>121</v>
      </c>
      <c r="G91" s="6">
        <f>IF(ISNUMBER(MATCH("Số tiền rút vượt mức tối đa",$AA$7:L90,0))=TRUE,0,#REF!-#REF!)</f>
        <v>0</v>
      </c>
      <c r="H91" s="6">
        <f>IF(ISNUMBER(MATCH("Số tiền rút vượt mức tối đa",$AA$7:L90,0))=TRUE,0,#REF!)</f>
        <v>0</v>
      </c>
    </row>
    <row r="92" spans="5:8" ht="15">
      <c r="E92" s="5">
        <f>1+E91</f>
        <v>92</v>
      </c>
      <c r="F92" s="5">
        <f>1+F91</f>
        <v>122</v>
      </c>
      <c r="G92" s="6">
        <f>IF(ISNUMBER(MATCH("Số tiền rút vượt mức tối đa",$AA$7:L91,0))=TRUE,0,#REF!-#REF!)</f>
        <v>0</v>
      </c>
      <c r="H92" s="6">
        <f>IF(ISNUMBER(MATCH("Số tiền rút vượt mức tối đa",$AA$7:L91,0))=TRUE,0,#REF!)</f>
        <v>0</v>
      </c>
    </row>
    <row r="93" spans="5:8" ht="15">
      <c r="E93" s="5">
        <f>1+E92</f>
        <v>93</v>
      </c>
      <c r="F93" s="5">
        <f>1+F92</f>
        <v>123</v>
      </c>
      <c r="G93" s="6">
        <f>IF(ISNUMBER(MATCH("Số tiền rút vượt mức tối đa",$AA$7:L92,0))=TRUE,0,#REF!-#REF!)</f>
        <v>0</v>
      </c>
      <c r="H93" s="6">
        <f>IF(ISNUMBER(MATCH("Số tiền rút vượt mức tối đa",$AA$7:L92,0))=TRUE,0,#REF!)</f>
        <v>0</v>
      </c>
    </row>
    <row r="94" spans="5:8" ht="15">
      <c r="E94" s="5">
        <f>1+E93</f>
        <v>94</v>
      </c>
      <c r="F94" s="5">
        <f>1+F93</f>
        <v>124</v>
      </c>
      <c r="G94" s="6">
        <f>IF(ISNUMBER(MATCH("Số tiền rút vượt mức tối đa",$AA$7:L93,0))=TRUE,0,#REF!-#REF!)</f>
        <v>0</v>
      </c>
      <c r="H94" s="6">
        <f>IF(ISNUMBER(MATCH("Số tiền rút vượt mức tối đa",$AA$7:L93,0))=TRUE,0,#REF!)</f>
        <v>0</v>
      </c>
    </row>
    <row r="95" spans="5:8" ht="15">
      <c r="E95" s="5">
        <f>1+E94</f>
        <v>95</v>
      </c>
      <c r="F95" s="5">
        <f>1+F94</f>
        <v>125</v>
      </c>
      <c r="G95" s="6">
        <f>IF(ISNUMBER(MATCH("Số tiền rút vượt mức tối đa",$AA$7:L94,0))=TRUE,0,#REF!-#REF!)</f>
        <v>0</v>
      </c>
      <c r="H95" s="6">
        <f>IF(ISNUMBER(MATCH("Số tiền rút vượt mức tối đa",$AA$7:L94,0))=TRUE,0,#REF!)</f>
        <v>0</v>
      </c>
    </row>
    <row r="96" spans="5:8" ht="15">
      <c r="E96" s="5">
        <f>1+E95</f>
        <v>96</v>
      </c>
      <c r="F96" s="5">
        <f>1+F95</f>
        <v>126</v>
      </c>
      <c r="G96" s="6">
        <f>IF(ISNUMBER(MATCH("Số tiền rút vượt mức tối đa",$AA$7:L95,0))=TRUE,0,#REF!-#REF!)</f>
        <v>0</v>
      </c>
      <c r="H96" s="6">
        <f>IF(ISNUMBER(MATCH("Số tiền rút vượt mức tối đa",$AA$7:L95,0))=TRUE,0,#REF!)</f>
        <v>0</v>
      </c>
    </row>
    <row r="97" spans="5:8" ht="15">
      <c r="E97" s="5">
        <f>1+E96</f>
        <v>97</v>
      </c>
      <c r="F97" s="5">
        <f>1+F96</f>
        <v>127</v>
      </c>
      <c r="G97" s="6">
        <f>IF(ISNUMBER(MATCH("Số tiền rút vượt mức tối đa",$AA$7:L96,0))=TRUE,0,#REF!-#REF!)</f>
        <v>0</v>
      </c>
      <c r="H97" s="6">
        <f>IF(ISNUMBER(MATCH("Số tiền rút vượt mức tối đa",$AA$7:L96,0))=TRUE,0,#REF!)</f>
        <v>0</v>
      </c>
    </row>
    <row r="98" spans="5:8" ht="15">
      <c r="E98" s="5">
        <f>1+E97</f>
        <v>98</v>
      </c>
      <c r="F98" s="5">
        <f>1+F97</f>
        <v>128</v>
      </c>
      <c r="G98" s="6">
        <f>IF(ISNUMBER(MATCH("Số tiền rút vượt mức tối đa",$AA$7:L97,0))=TRUE,0,#REF!-#REF!)</f>
        <v>0</v>
      </c>
      <c r="H98" s="6">
        <f>IF(ISNUMBER(MATCH("Số tiền rút vượt mức tối đa",$AA$7:L97,0))=TRUE,0,#REF!)</f>
        <v>0</v>
      </c>
    </row>
    <row r="99" spans="5:8" ht="15">
      <c r="E99" s="5">
        <f>1+E98</f>
        <v>99</v>
      </c>
      <c r="F99" s="5">
        <f>1+F98</f>
        <v>129</v>
      </c>
      <c r="G99" s="6">
        <f>IF(ISNUMBER(MATCH("Số tiền rút vượt mức tối đa",$AA$7:L98,0))=TRUE,0,#REF!-#REF!)</f>
        <v>0</v>
      </c>
      <c r="H99" s="6">
        <f>IF(ISNUMBER(MATCH("Số tiền rút vượt mức tối đa",$AA$7:L98,0))=TRUE,0,#REF!)</f>
        <v>0</v>
      </c>
    </row>
  </sheetData>
  <sheetProtection/>
  <printOptions/>
  <pageMargins left="0.7" right="0.7" top="0.75" bottom="0.75" header="0.3" footer="0.3"/>
  <pageSetup orientation="portrait" paperSize="9"/>
  <headerFooter>
    <oddFooter>&amp;C
&amp;1#&amp;"Aptos"&amp;8&amp;K000000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B1:B11"/>
  <sheetViews>
    <sheetView tabSelected="1" workbookViewId="0" topLeftCell="A1"/>
  </sheetViews>
  <sheetFormatPr defaultColWidth="9.125" defaultRowHeight="15"/>
  <sheetData>
    <row r="1" ht="15">
      <c r="B1" s="7" t="s">
        <v>0</v>
      </c>
    </row>
    <row r="2" ht="15">
      <c r="B2" s="7" t="s">
        <v>1</v>
      </c>
    </row>
    <row r="4" ht="15">
      <c r="B4" t="s">
        <v>2</v>
      </c>
    </row>
    <row r="5" ht="15">
      <c r="B5" s="9" t="s">
        <v>3</v>
      </c>
    </row>
    <row r="7" ht="15">
      <c r="B7" t="s">
        <v>4</v>
      </c>
    </row>
    <row r="8" ht="15">
      <c r="B8" s="9" t="s">
        <v>5</v>
      </c>
    </row>
    <row r="10" ht="15">
      <c r="B10" t="s">
        <v>6</v>
      </c>
    </row>
    <row r="11" ht="15">
      <c r="B11" s="9" t="s">
        <v>7</v>
      </c>
    </row>
  </sheetData>
  <hyperlinks>
    <hyperlink ref="B5" r:id="rId1" display="https://www.e-iceblue.com"/>
    <hyperlink ref="B8" r:id="rId2" display="mailto:support@e-iceblue.com"/>
    <hyperlink ref="B11" r:id="rId3" display="https://www.e-iceblue.com/Buy/Spire.XLS-Python.html"/>
  </hyperlinks>
  <printOptions/>
  <pageMargins left="0.75" right="0.75" top="1" bottom="1" header="0.5" footer="0.5"/>
  <pageSetup orientation="portrait" paperSize="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Doan Anh Dung</dc:creator>
  <cp:keywords/>
  <dc:description/>
  <cp:lastModifiedBy>Doan Anh Dung</cp:lastModifiedBy>
  <dcterms:created xsi:type="dcterms:W3CDTF">2025-12-06T22:18:47Z</dcterms:created>
  <dcterms:modified xsi:type="dcterms:W3CDTF">2025-12-06T22:19:52Z</dcterms:modified>
  <cp:category/>
  <cp:version/>
  <cp:contentType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27cab5-59e6-424d-abbb-227cd06504a3_Enabled">
    <vt:lpwstr>true</vt:lpwstr>
  </property>
  <property fmtid="{D5CDD505-2E9C-101B-9397-08002B2CF9AE}" pid="3" name="MSIP_Label_5a27cab5-59e6-424d-abbb-227cd06504a3_SetDate">
    <vt:lpwstr>2025-12-06T15:18:56Z</vt:lpwstr>
  </property>
  <property fmtid="{D5CDD505-2E9C-101B-9397-08002B2CF9AE}" pid="4" name="MSIP_Label_5a27cab5-59e6-424d-abbb-227cd06504a3_Method">
    <vt:lpwstr>Privileged</vt:lpwstr>
  </property>
  <property fmtid="{D5CDD505-2E9C-101B-9397-08002B2CF9AE}" pid="5" name="MSIP_Label_5a27cab5-59e6-424d-abbb-227cd06504a3_Name">
    <vt:lpwstr>INTERNAL v2</vt:lpwstr>
  </property>
  <property fmtid="{D5CDD505-2E9C-101B-9397-08002B2CF9AE}" pid="6" name="MSIP_Label_5a27cab5-59e6-424d-abbb-227cd06504a3_SiteId">
    <vt:lpwstr>5d3e2773-e07f-4432-a630-1a0f68a28a05</vt:lpwstr>
  </property>
  <property fmtid="{D5CDD505-2E9C-101B-9397-08002B2CF9AE}" pid="7" name="MSIP_Label_5a27cab5-59e6-424d-abbb-227cd06504a3_ActionId">
    <vt:lpwstr>67cba9b6-8516-47d7-9754-80a66b3e7913</vt:lpwstr>
  </property>
  <property fmtid="{D5CDD505-2E9C-101B-9397-08002B2CF9AE}" pid="8" name="MSIP_Label_5a27cab5-59e6-424d-abbb-227cd06504a3_ContentBits">
    <vt:lpwstr>2</vt:lpwstr>
  </property>
  <property fmtid="{D5CDD505-2E9C-101B-9397-08002B2CF9AE}" pid="9" name="MSIP_Label_5a27cab5-59e6-424d-abbb-227cd06504a3_Tag">
    <vt:lpwstr>10, 0, 1, 1</vt:lpwstr>
  </property>
</Properties>
</file>